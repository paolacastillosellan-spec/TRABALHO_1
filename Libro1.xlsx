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tabRatio="337"/>
  </bookViews>
  <sheets>
    <sheet name="Hoja1" sheetId="1" r:id="rId1"/>
    <sheet name="Hoja2" sheetId="2" r:id="rId2"/>
    <sheet name="Hoja3" sheetId="3" r:id="rId3"/>
  </sheets>
  <definedNames>
    <definedName name="Aporte">Hoja1!$C$17</definedName>
    <definedName name="patrimonio">Hoja1!$C$20</definedName>
    <definedName name="quantidade_anos">Hoja1!$C$18</definedName>
    <definedName name="rendimento_carteira">Hoja1!$C$13</definedName>
    <definedName name="salario">Hoja1!$C$12</definedName>
    <definedName name="sugestao_investimento">Hoja1!$C$14</definedName>
    <definedName name="taxa_mensal">Hoja1!$C$19</definedName>
  </definedNames>
  <calcPr calcId="145621"/>
</workbook>
</file>

<file path=xl/calcChain.xml><?xml version="1.0" encoding="utf-8"?>
<calcChain xmlns="http://schemas.openxmlformats.org/spreadsheetml/2006/main">
  <c r="A10" i="2" l="1"/>
  <c r="C36" i="1"/>
  <c r="C37" i="1"/>
  <c r="C38" i="1"/>
  <c r="C39" i="1"/>
  <c r="C40" i="1"/>
  <c r="C32" i="1"/>
  <c r="C35" i="1"/>
  <c r="I5" i="2"/>
  <c r="A11" i="2" l="1"/>
  <c r="A12" i="2"/>
  <c r="A13" i="2"/>
  <c r="A14" i="2"/>
  <c r="A15" i="2"/>
  <c r="A16" i="2"/>
  <c r="A17" i="2"/>
  <c r="A18" i="2"/>
  <c r="A19" i="2"/>
  <c r="A20" i="2"/>
  <c r="A21" i="2"/>
  <c r="A5" i="2"/>
  <c r="A6" i="2"/>
  <c r="A7" i="2"/>
  <c r="A8" i="2"/>
  <c r="A9" i="2"/>
  <c r="A4" i="2"/>
  <c r="D36" i="1"/>
  <c r="D38" i="1"/>
  <c r="D39" i="1"/>
  <c r="D37" i="1"/>
  <c r="D35" i="1"/>
  <c r="D40" i="1"/>
  <c r="C20" i="1"/>
  <c r="C21" i="1" s="1"/>
  <c r="C14" i="1"/>
  <c r="C27" i="1"/>
  <c r="D27" i="1" s="1"/>
  <c r="C28" i="1"/>
  <c r="D28" i="1" s="1"/>
  <c r="C26" i="1"/>
  <c r="D26" i="1" s="1"/>
  <c r="C25" i="1"/>
  <c r="D25" i="1" s="1"/>
  <c r="C24" i="1"/>
  <c r="D24" i="1" s="1"/>
</calcChain>
</file>

<file path=xl/sharedStrings.xml><?xml version="1.0" encoding="utf-8"?>
<sst xmlns="http://schemas.openxmlformats.org/spreadsheetml/2006/main" count="70" uniqueCount="35">
  <si>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</si>
  <si>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</si>
  <si>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</si>
  <si>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</si>
  <si>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</si>
  <si>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</si>
  <si>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</si>
  <si>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</si>
  <si>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</si>
  <si>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</si>
  <si>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</si>
  <si>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Configurações</t>
  </si>
  <si>
    <t xml:space="preserve">Rendimento carteira </t>
  </si>
  <si>
    <t xml:space="preserve">Salario </t>
  </si>
  <si>
    <r>
      <rPr>
        <b/>
        <sz val="16"/>
        <color theme="0"/>
        <rFont val="Calibri"/>
        <family val="2"/>
        <scheme val="minor"/>
      </rPr>
      <t>Cénarios</t>
    </r>
    <r>
      <rPr>
        <b/>
        <sz val="20"/>
        <color theme="0"/>
        <rFont val="Calibri"/>
        <family val="2"/>
        <scheme val="minor"/>
      </rPr>
      <t xml:space="preserve">                                                                       </t>
    </r>
    <r>
      <rPr>
        <b/>
        <sz val="16"/>
        <color theme="0"/>
        <rFont val="Calibri"/>
        <family val="2"/>
        <scheme val="minor"/>
      </rPr>
      <t>Dividendo</t>
    </r>
  </si>
  <si>
    <t>Perfil</t>
  </si>
  <si>
    <t>AGRESSIVO</t>
  </si>
  <si>
    <t>VALOR A SER INVESTIDO POR MÊS</t>
  </si>
  <si>
    <t>TIPO DE FII</t>
  </si>
  <si>
    <t>PORCENTUAL SUGERIDO</t>
  </si>
  <si>
    <t>VALORES</t>
  </si>
  <si>
    <t>PAPEL</t>
  </si>
  <si>
    <t>TIJOLO</t>
  </si>
  <si>
    <t>HIBRIDOS</t>
  </si>
  <si>
    <t>FOFS</t>
  </si>
  <si>
    <t>DESENVOLVIMENTO</t>
  </si>
  <si>
    <t>HOTELARIAS</t>
  </si>
  <si>
    <t>PERFIL</t>
  </si>
  <si>
    <t>PORCENTUAL</t>
  </si>
  <si>
    <t>CONSERVADOR</t>
  </si>
  <si>
    <t xml:space="preserve">CHAVE </t>
  </si>
  <si>
    <t>MODERADO</t>
  </si>
  <si>
    <t>MODERADO-TIJOLO</t>
  </si>
  <si>
    <t>%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</si>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</sst>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[$BRL]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51">
    <xf numFmtId="0" fontId="0" fillId="0" borderId="0" xfId="0"/>
    <xf numFmtId="164" fontId="0" fillId="4" borderId="10" xfId="0" applyNumberFormat="1" applyFill="1" applyBorder="1" applyAlignment="1">
      <alignment horizontal="center"/>
    </xf>
    <xf numFmtId="164" fontId="1" fillId="4" borderId="10" xfId="0" applyNumberFormat="1" applyFont="1" applyFill="1" applyBorder="1" applyAlignment="1">
      <alignment horizontal="center"/>
    </xf>
    <xf numFmtId="164" fontId="1" fillId="4" borderId="12" xfId="0" applyNumberFormat="1" applyFont="1" applyFill="1" applyBorder="1" applyAlignment="1">
      <alignment horizontal="center"/>
    </xf>
    <xf numFmtId="16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9" fontId="0" fillId="3" borderId="4" xfId="0" applyNumberFormat="1" applyFill="1" applyBorder="1" applyAlignment="1">
      <alignment horizontal="center"/>
    </xf>
    <xf numFmtId="0" fontId="0" fillId="3" borderId="6" xfId="0" applyNumberFormat="1" applyFill="1" applyBorder="1" applyAlignment="1">
      <alignment horizontal="center"/>
    </xf>
    <xf numFmtId="164" fontId="0" fillId="4" borderId="13" xfId="0" applyNumberFormat="1" applyFill="1" applyBorder="1" applyAlignment="1">
      <alignment horizontal="center"/>
    </xf>
    <xf numFmtId="164" fontId="0" fillId="4" borderId="14" xfId="0" applyNumberFormat="1" applyFill="1" applyBorder="1" applyAlignment="1">
      <alignment horizontal="center"/>
    </xf>
    <xf numFmtId="0" fontId="7" fillId="4" borderId="9" xfId="0" applyFont="1" applyFill="1" applyBorder="1"/>
    <xf numFmtId="0" fontId="7" fillId="4" borderId="11" xfId="0" applyFont="1" applyFill="1" applyBorder="1"/>
    <xf numFmtId="0" fontId="6" fillId="3" borderId="3" xfId="0" applyFont="1" applyFill="1" applyBorder="1"/>
    <xf numFmtId="0" fontId="6" fillId="3" borderId="5" xfId="0" applyFont="1" applyFill="1" applyBorder="1"/>
    <xf numFmtId="0" fontId="3" fillId="2" borderId="15" xfId="0" applyFont="1" applyFill="1" applyBorder="1" applyAlignment="1">
      <alignment vertical="center"/>
    </xf>
    <xf numFmtId="0" fontId="3" fillId="2" borderId="16" xfId="0" applyFont="1" applyFill="1" applyBorder="1" applyAlignment="1">
      <alignment vertical="center"/>
    </xf>
    <xf numFmtId="0" fontId="6" fillId="4" borderId="18" xfId="0" applyFont="1" applyFill="1" applyBorder="1"/>
    <xf numFmtId="164" fontId="0" fillId="4" borderId="19" xfId="0" applyNumberFormat="1" applyFill="1" applyBorder="1" applyAlignment="1">
      <alignment horizontal="center"/>
    </xf>
    <xf numFmtId="0" fontId="6" fillId="4" borderId="9" xfId="0" applyFont="1" applyFill="1" applyBorder="1"/>
    <xf numFmtId="0" fontId="6" fillId="4" borderId="11" xfId="0" applyFont="1" applyFill="1" applyBorder="1"/>
    <xf numFmtId="164" fontId="0" fillId="4" borderId="20" xfId="0" applyNumberFormat="1" applyFill="1" applyBorder="1" applyAlignment="1">
      <alignment horizontal="center"/>
    </xf>
    <xf numFmtId="164" fontId="0" fillId="4" borderId="12" xfId="0" applyNumberFormat="1" applyFill="1" applyBorder="1" applyAlignment="1">
      <alignment horizontal="center"/>
    </xf>
    <xf numFmtId="0" fontId="6" fillId="3" borderId="7" xfId="0" applyFont="1" applyFill="1" applyBorder="1"/>
    <xf numFmtId="0" fontId="6" fillId="3" borderId="9" xfId="0" applyFont="1" applyFill="1" applyBorder="1"/>
    <xf numFmtId="164" fontId="1" fillId="3" borderId="8" xfId="0" applyNumberFormat="1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10" fontId="1" fillId="3" borderId="10" xfId="0" applyNumberFormat="1" applyFont="1" applyFill="1" applyBorder="1" applyAlignment="1">
      <alignment horizontal="center"/>
    </xf>
    <xf numFmtId="0" fontId="6" fillId="6" borderId="0" xfId="0" applyFont="1" applyFill="1" applyBorder="1"/>
    <xf numFmtId="0" fontId="0" fillId="6" borderId="0" xfId="0" applyFill="1"/>
    <xf numFmtId="0" fontId="0" fillId="3" borderId="0" xfId="0" applyFill="1"/>
    <xf numFmtId="0" fontId="0" fillId="6" borderId="0" xfId="0" applyFill="1" applyAlignment="1">
      <alignment horizontal="center"/>
    </xf>
    <xf numFmtId="0" fontId="1" fillId="3" borderId="0" xfId="0" applyFont="1" applyFill="1"/>
    <xf numFmtId="164" fontId="1" fillId="3" borderId="0" xfId="0" applyNumberFormat="1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9" fontId="0" fillId="0" borderId="21" xfId="0" applyNumberForma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9" fontId="0" fillId="6" borderId="0" xfId="1" applyFont="1" applyFill="1"/>
    <xf numFmtId="9" fontId="0" fillId="0" borderId="0" xfId="1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119062</xdr:colOff>
      <xdr:row>0</xdr:row>
      <xdr:rowOff>9526</xdr:rowOff>
    </xdr:from>
    <xdr:to>
      <xdr:col>4</xdr:col>
      <xdr:colOff>1304925</xdr:colOff>
      <xdr:row>8</xdr:row>
      <xdr:rowOff>180152</xdr:rowOff>
    </xdr:to>
    <xdr:pic>
      <xdr:nvPicPr>
        <xdr:cNvPr id="2" name="1 Imagen" descr="banner-investors - Route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" y="9526"/>
          <a:ext cx="8501063" cy="1694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F40"/>
  <sheetViews>
    <sheetView showGridLines="0" tabSelected="1" topLeftCell="A10" zoomScaleNormal="100" workbookViewId="0">
      <selection activeCell="C17" sqref="C17"/>
    </sheetView>
  </sheetViews>
  <sheetFormatPr baseColWidth="10" defaultRowHeight="15" x14ac:dyDescent="0.25"/>
  <cols>
    <col min="1" max="1" width="11.42578125" customWidth="1"/>
    <col min="2" max="2" width="45.5703125" customWidth="1"/>
    <col min="3" max="3" width="22.42578125" customWidth="1"/>
    <col min="4" max="4" width="30.28515625" customWidth="1"/>
    <col min="5" max="5" width="24.7109375" bestFit="1" customWidth="1"/>
    <col min="6" max="6" width="11.5703125" bestFit="1" customWidth="1"/>
    <col min="7" max="11" width="11.42578125" customWidth="1"/>
  </cols>
  <sheetData>
    <row r="10" spans="2:3" ht="15.75" thickBot="1" x14ac:dyDescent="0.3"/>
    <row r="11" spans="2:3" ht="18.75" x14ac:dyDescent="0.25">
      <c r="B11" s="44" t="s">
        <v>11</v>
      </c>
      <c r="C11" s="45"/>
    </row>
    <row r="12" spans="2:3" ht="15.75" x14ac:dyDescent="0.25">
      <c r="B12" s="16" t="s">
        <v>13</v>
      </c>
      <c r="C12" s="9">
        <v>4200</v>
      </c>
    </row>
    <row r="13" spans="2:3" ht="15.75" x14ac:dyDescent="0.25">
      <c r="B13" s="16" t="s">
        <v>12</v>
      </c>
      <c r="C13" s="10">
        <v>8.8999999999999999E-3</v>
      </c>
    </row>
    <row r="14" spans="2:3" ht="16.5" thickBot="1" x14ac:dyDescent="0.3">
      <c r="B14" s="17" t="s">
        <v>34</v>
      </c>
      <c r="C14" s="11">
        <f>C12*0.3</f>
        <v>1260</v>
      </c>
    </row>
    <row r="15" spans="2:3" ht="15.75" thickBot="1" x14ac:dyDescent="0.3"/>
    <row r="16" spans="2:3" ht="27" thickBot="1" x14ac:dyDescent="0.3">
      <c r="B16" s="18" t="s">
        <v>5</v>
      </c>
      <c r="C16" s="19"/>
    </row>
    <row r="17" spans="1:6" ht="15.75" x14ac:dyDescent="0.25">
      <c r="B17" s="26" t="s">
        <v>0</v>
      </c>
      <c r="C17" s="28">
        <v>1260</v>
      </c>
    </row>
    <row r="18" spans="1:6" ht="15.75" x14ac:dyDescent="0.25">
      <c r="B18" s="27" t="s">
        <v>1</v>
      </c>
      <c r="C18" s="29">
        <v>10</v>
      </c>
    </row>
    <row r="19" spans="1:6" ht="15.75" x14ac:dyDescent="0.25">
      <c r="B19" s="27" t="s">
        <v>2</v>
      </c>
      <c r="C19" s="30">
        <v>1.0789999999999999E-2</v>
      </c>
    </row>
    <row r="20" spans="1:6" ht="15.75" x14ac:dyDescent="0.25">
      <c r="B20" s="14" t="s">
        <v>3</v>
      </c>
      <c r="C20" s="2">
        <f>FV(taxa_mensal,quantidade_anos*12,Aporte*-1)</f>
        <v>306538.10778801696</v>
      </c>
    </row>
    <row r="21" spans="1:6" ht="16.5" thickBot="1" x14ac:dyDescent="0.3">
      <c r="B21" s="15" t="s">
        <v>4</v>
      </c>
      <c r="C21" s="3">
        <f>C20*C19</f>
        <v>3307.5461830327026</v>
      </c>
    </row>
    <row r="22" spans="1:6" ht="15.75" thickBot="1" x14ac:dyDescent="0.3"/>
    <row r="23" spans="1:6" ht="26.25" x14ac:dyDescent="0.25">
      <c r="B23" s="41" t="s">
        <v>14</v>
      </c>
      <c r="C23" s="42"/>
      <c r="D23" s="43"/>
      <c r="F23" s="7"/>
    </row>
    <row r="24" spans="1:6" ht="15.75" x14ac:dyDescent="0.25">
      <c r="A24" s="5">
        <v>2</v>
      </c>
      <c r="B24" s="20" t="s">
        <v>6</v>
      </c>
      <c r="C24" s="12">
        <f>FV($C$19,A$24*12,$C$17*-1)</f>
        <v>34306.810395032975</v>
      </c>
      <c r="D24" s="21">
        <f>C24*rendimento_carteira</f>
        <v>305.33061251579346</v>
      </c>
    </row>
    <row r="25" spans="1:6" ht="15.75" x14ac:dyDescent="0.25">
      <c r="A25" s="5">
        <v>5</v>
      </c>
      <c r="B25" s="22" t="s">
        <v>7</v>
      </c>
      <c r="C25" s="13">
        <f>FV($C$19,A$25*12,$C$17*-1)</f>
        <v>105558.91163809443</v>
      </c>
      <c r="D25" s="1">
        <f>C25*rendimento_carteira</f>
        <v>939.47431357904043</v>
      </c>
    </row>
    <row r="26" spans="1:6" ht="15.75" x14ac:dyDescent="0.25">
      <c r="A26" s="5">
        <v>10</v>
      </c>
      <c r="B26" s="22" t="s">
        <v>8</v>
      </c>
      <c r="C26" s="13">
        <f>FV($C$19,A26*12,$C$17*-1)</f>
        <v>306538.10778801696</v>
      </c>
      <c r="D26" s="1">
        <f>C26*rendimento_carteira</f>
        <v>2728.189159313351</v>
      </c>
    </row>
    <row r="27" spans="1:6" ht="15.75" x14ac:dyDescent="0.25">
      <c r="A27" s="5">
        <v>20</v>
      </c>
      <c r="B27" s="22" t="s">
        <v>9</v>
      </c>
      <c r="C27" s="13">
        <f>FV($C$19,A27*12,$C$17*-1)</f>
        <v>1417749.9841223215</v>
      </c>
      <c r="D27" s="1">
        <f>C27*rendimento_carteira</f>
        <v>12617.974858688662</v>
      </c>
    </row>
    <row r="28" spans="1:6" ht="16.5" thickBot="1" x14ac:dyDescent="0.3">
      <c r="A28" s="5">
        <v>30</v>
      </c>
      <c r="B28" s="23" t="s">
        <v>10</v>
      </c>
      <c r="C28" s="24">
        <f>FV($C$19,A28*12,$C$17*-1)</f>
        <v>5445933.7653059401</v>
      </c>
      <c r="D28" s="25">
        <f>C28*rendimento_carteira</f>
        <v>48468.810511222866</v>
      </c>
    </row>
    <row r="31" spans="1:6" ht="15.75" x14ac:dyDescent="0.25">
      <c r="B31" s="31" t="s">
        <v>15</v>
      </c>
      <c r="C31" s="34" t="s">
        <v>29</v>
      </c>
      <c r="D31" s="32"/>
    </row>
    <row r="32" spans="1:6" x14ac:dyDescent="0.25">
      <c r="B32" s="35" t="s">
        <v>17</v>
      </c>
      <c r="C32" s="36">
        <f>Aporte</f>
        <v>1260</v>
      </c>
      <c r="D32" s="33"/>
    </row>
    <row r="34" spans="2:4" x14ac:dyDescent="0.25">
      <c r="B34" s="37" t="s">
        <v>18</v>
      </c>
      <c r="C34" s="37" t="s">
        <v>19</v>
      </c>
      <c r="D34" s="37" t="s">
        <v>20</v>
      </c>
    </row>
    <row r="35" spans="2:4" x14ac:dyDescent="0.25">
      <c r="B35" s="6" t="s">
        <v>21</v>
      </c>
      <c r="C35" s="50">
        <f>VLOOKUP($C$31&amp;"-"&amp;B35,Hoja2!A1:D21,4,FALSE)</f>
        <v>0.3</v>
      </c>
      <c r="D35" s="4">
        <f>C35*$C$32</f>
        <v>378</v>
      </c>
    </row>
    <row r="36" spans="2:4" x14ac:dyDescent="0.25">
      <c r="B36" s="6" t="s">
        <v>22</v>
      </c>
      <c r="C36" s="50">
        <f>VLOOKUP($C$31&amp;"-"&amp;B36,Hoja2!A2:D22,4,FALSE)</f>
        <v>0.5</v>
      </c>
      <c r="D36" s="4">
        <f t="shared" ref="D36:D40" si="0">C36*$C$32</f>
        <v>630</v>
      </c>
    </row>
    <row r="37" spans="2:4" x14ac:dyDescent="0.25">
      <c r="B37" s="6" t="s">
        <v>23</v>
      </c>
      <c r="C37" s="50">
        <f>VLOOKUP($C$31&amp;"-"&amp;B37,Hoja2!A3:D23,4,FALSE)</f>
        <v>0.1</v>
      </c>
      <c r="D37" s="4">
        <f t="shared" si="0"/>
        <v>126</v>
      </c>
    </row>
    <row r="38" spans="2:4" x14ac:dyDescent="0.25">
      <c r="B38" s="6" t="s">
        <v>24</v>
      </c>
      <c r="C38" s="50">
        <f>VLOOKUP($C$31&amp;"-"&amp;B38,Hoja2!A4:D24,4,FALSE)</f>
        <v>0.1</v>
      </c>
      <c r="D38" s="4">
        <f t="shared" si="0"/>
        <v>126</v>
      </c>
    </row>
    <row r="39" spans="2:4" x14ac:dyDescent="0.25">
      <c r="B39" s="6" t="s">
        <v>25</v>
      </c>
      <c r="C39" s="50">
        <f>VLOOKUP($C$31&amp;"-"&amp;B39,Hoja2!A5:D25,4,FALSE)</f>
        <v>0</v>
      </c>
      <c r="D39" s="4">
        <f t="shared" si="0"/>
        <v>0</v>
      </c>
    </row>
    <row r="40" spans="2:4" x14ac:dyDescent="0.25">
      <c r="B40" s="6" t="s">
        <v>26</v>
      </c>
      <c r="C40" s="50">
        <f>VLOOKUP($C$31&amp;"-"&amp;B40,Hoja2!A6:D26,4,FALSE)</f>
        <v>0</v>
      </c>
      <c r="D40" s="4">
        <f t="shared" si="0"/>
        <v>0</v>
      </c>
    </row>
  </sheetData>
  <mergeCells count="2">
    <mergeCell ref="B23:D23"/>
    <mergeCell ref="B11:C11"/>
  </mergeCells>
  <dataValidations count="1">
    <dataValidation type="list" allowBlank="1" showInputMessage="1" showErrorMessage="1" sqref="C31">
      <formula1>"MODERADO,AGRESSIVO,CONSERVADOR"</formula1>
    </dataValidation>
  </dataValidation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1"/>
  <sheetViews>
    <sheetView workbookViewId="0">
      <selection activeCell="A11" sqref="A11"/>
    </sheetView>
  </sheetViews>
  <sheetFormatPr baseColWidth="10" defaultRowHeight="15" x14ac:dyDescent="0.25"/>
  <cols>
    <col min="1" max="1" width="33.5703125" bestFit="1" customWidth="1"/>
    <col min="2" max="2" width="14.5703125" bestFit="1" customWidth="1"/>
    <col min="3" max="3" width="18.85546875" bestFit="1" customWidth="1"/>
    <col min="9" max="9" width="11.85546875" bestFit="1" customWidth="1"/>
  </cols>
  <sheetData>
    <row r="3" spans="1:9" x14ac:dyDescent="0.25">
      <c r="A3" t="s">
        <v>30</v>
      </c>
      <c r="B3" t="s">
        <v>27</v>
      </c>
      <c r="C3" t="s">
        <v>18</v>
      </c>
      <c r="D3" t="s">
        <v>28</v>
      </c>
    </row>
    <row r="4" spans="1:9" x14ac:dyDescent="0.25">
      <c r="A4" t="str">
        <f>B4&amp;"-"&amp;C4</f>
        <v>CONSERVADOR-PAPEL</v>
      </c>
      <c r="B4" t="s">
        <v>29</v>
      </c>
      <c r="C4" s="6" t="s">
        <v>21</v>
      </c>
      <c r="D4" s="8">
        <v>0.3</v>
      </c>
      <c r="I4" t="s">
        <v>33</v>
      </c>
    </row>
    <row r="5" spans="1:9" x14ac:dyDescent="0.25">
      <c r="A5" t="str">
        <f t="shared" ref="A5:A21" si="0">B5&amp;"-"&amp;C5</f>
        <v>CONSERVADOR-TIJOLO</v>
      </c>
      <c r="B5" t="s">
        <v>29</v>
      </c>
      <c r="C5" s="6" t="s">
        <v>22</v>
      </c>
      <c r="D5" s="8">
        <v>0.5</v>
      </c>
      <c r="G5" s="32" t="s">
        <v>32</v>
      </c>
      <c r="H5" s="32"/>
      <c r="I5" s="49">
        <f>VLOOKUP(G5,$A:$D,4,FALSE)</f>
        <v>0.4</v>
      </c>
    </row>
    <row r="6" spans="1:9" x14ac:dyDescent="0.25">
      <c r="A6" t="str">
        <f t="shared" si="0"/>
        <v>CONSERVADOR-HIBRIDOS</v>
      </c>
      <c r="B6" t="s">
        <v>29</v>
      </c>
      <c r="C6" s="6" t="s">
        <v>23</v>
      </c>
      <c r="D6" s="8">
        <v>0.1</v>
      </c>
    </row>
    <row r="7" spans="1:9" x14ac:dyDescent="0.25">
      <c r="A7" t="str">
        <f t="shared" si="0"/>
        <v>CONSERVADOR-FOFS</v>
      </c>
      <c r="B7" t="s">
        <v>29</v>
      </c>
      <c r="C7" s="6" t="s">
        <v>24</v>
      </c>
      <c r="D7" s="8">
        <v>0.1</v>
      </c>
    </row>
    <row r="8" spans="1:9" x14ac:dyDescent="0.25">
      <c r="A8" t="str">
        <f t="shared" si="0"/>
        <v>CONSERVADOR-DESENVOLVIMENTO</v>
      </c>
      <c r="B8" t="s">
        <v>29</v>
      </c>
      <c r="C8" s="6" t="s">
        <v>25</v>
      </c>
      <c r="D8" s="8">
        <v>0</v>
      </c>
    </row>
    <row r="9" spans="1:9" ht="15.75" thickBot="1" x14ac:dyDescent="0.3">
      <c r="A9" s="38" t="str">
        <f t="shared" si="0"/>
        <v>CONSERVADOR-HOTELARIAS</v>
      </c>
      <c r="B9" s="38" t="s">
        <v>29</v>
      </c>
      <c r="C9" s="39" t="s">
        <v>26</v>
      </c>
      <c r="D9" s="40">
        <v>0</v>
      </c>
    </row>
    <row r="10" spans="1:9" x14ac:dyDescent="0.25">
      <c r="A10" s="46" t="str">
        <f>B10&amp;"-G14"&amp;C10</f>
        <v>MODERADO-G14PAPEL</v>
      </c>
      <c r="B10" s="46" t="s">
        <v>31</v>
      </c>
      <c r="C10" s="47" t="s">
        <v>21</v>
      </c>
      <c r="D10" s="48">
        <v>0.32</v>
      </c>
    </row>
    <row r="11" spans="1:9" x14ac:dyDescent="0.25">
      <c r="A11" t="str">
        <f t="shared" si="0"/>
        <v>MODERADO-TIJOLO</v>
      </c>
      <c r="B11" t="s">
        <v>31</v>
      </c>
      <c r="C11" s="6" t="s">
        <v>22</v>
      </c>
      <c r="D11" s="8">
        <v>0.4</v>
      </c>
    </row>
    <row r="12" spans="1:9" x14ac:dyDescent="0.25">
      <c r="A12" t="str">
        <f t="shared" si="0"/>
        <v>MODERADO-HIBRIDOS</v>
      </c>
      <c r="B12" t="s">
        <v>31</v>
      </c>
      <c r="C12" s="6" t="s">
        <v>23</v>
      </c>
      <c r="D12" s="8">
        <v>0.08</v>
      </c>
    </row>
    <row r="13" spans="1:9" x14ac:dyDescent="0.25">
      <c r="A13" t="str">
        <f t="shared" si="0"/>
        <v>MODERADO-FOFS</v>
      </c>
      <c r="B13" t="s">
        <v>31</v>
      </c>
      <c r="C13" s="6" t="s">
        <v>24</v>
      </c>
      <c r="D13" s="8">
        <v>0.1</v>
      </c>
    </row>
    <row r="14" spans="1:9" x14ac:dyDescent="0.25">
      <c r="A14" t="str">
        <f t="shared" si="0"/>
        <v>MODERADO-DESENVOLVIMENTO</v>
      </c>
      <c r="B14" t="s">
        <v>31</v>
      </c>
      <c r="C14" s="6" t="s">
        <v>25</v>
      </c>
      <c r="D14" s="8">
        <v>0.1</v>
      </c>
    </row>
    <row r="15" spans="1:9" ht="15.75" thickBot="1" x14ac:dyDescent="0.3">
      <c r="A15" s="38" t="str">
        <f t="shared" si="0"/>
        <v>MODERADO-HOTELARIAS</v>
      </c>
      <c r="B15" s="38" t="s">
        <v>31</v>
      </c>
      <c r="C15" s="39" t="s">
        <v>26</v>
      </c>
      <c r="D15" s="40">
        <v>0.1</v>
      </c>
    </row>
    <row r="16" spans="1:9" x14ac:dyDescent="0.25">
      <c r="A16" t="str">
        <f t="shared" si="0"/>
        <v>AGRESSIVO-PAPEL</v>
      </c>
      <c r="B16" t="s">
        <v>16</v>
      </c>
      <c r="C16" s="6" t="s">
        <v>21</v>
      </c>
      <c r="D16" s="8">
        <v>0.5</v>
      </c>
    </row>
    <row r="17" spans="1:4" x14ac:dyDescent="0.25">
      <c r="A17" t="str">
        <f t="shared" si="0"/>
        <v>AGRESSIVO-TIJOLO</v>
      </c>
      <c r="B17" t="s">
        <v>16</v>
      </c>
      <c r="C17" s="6" t="s">
        <v>22</v>
      </c>
      <c r="D17" s="8">
        <v>0.1</v>
      </c>
    </row>
    <row r="18" spans="1:4" x14ac:dyDescent="0.25">
      <c r="A18" t="str">
        <f t="shared" si="0"/>
        <v>AGRESSIVO-HIBRIDOS</v>
      </c>
      <c r="B18" t="s">
        <v>16</v>
      </c>
      <c r="C18" s="6" t="s">
        <v>23</v>
      </c>
      <c r="D18" s="8">
        <v>0.05</v>
      </c>
    </row>
    <row r="19" spans="1:4" x14ac:dyDescent="0.25">
      <c r="A19" t="str">
        <f t="shared" si="0"/>
        <v>AGRESSIVO-FOFS</v>
      </c>
      <c r="B19" t="s">
        <v>16</v>
      </c>
      <c r="C19" s="6" t="s">
        <v>24</v>
      </c>
      <c r="D19" s="8">
        <v>0.05</v>
      </c>
    </row>
    <row r="20" spans="1:4" x14ac:dyDescent="0.25">
      <c r="A20" t="str">
        <f t="shared" si="0"/>
        <v>AGRESSIVO-DESENVOLVIMENTO</v>
      </c>
      <c r="B20" t="s">
        <v>16</v>
      </c>
      <c r="C20" s="6" t="s">
        <v>25</v>
      </c>
      <c r="D20" s="8">
        <v>0.2</v>
      </c>
    </row>
    <row r="21" spans="1:4" x14ac:dyDescent="0.25">
      <c r="A21" t="str">
        <f t="shared" si="0"/>
        <v>AGRESSIVO-HOTELARIAS</v>
      </c>
      <c r="B21" t="s">
        <v>16</v>
      </c>
      <c r="C21" s="6" t="s">
        <v>26</v>
      </c>
      <c r="D21" s="8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7</vt:i4>
      </vt:variant>
    </vt:vector>
  </HeadingPairs>
  <TitlesOfParts>
    <vt:vector size="10" baseType="lpstr">
      <vt:lpstr>Hoja1</vt:lpstr>
      <vt:lpstr>Hoja2</vt:lpstr>
      <vt:lpstr>Hoja3</vt:lpstr>
      <vt:lpstr>Aporte</vt:lpstr>
      <vt:lpstr>patrimonio</vt:lpstr>
      <vt:lpstr>quantidade_anos</vt:lpstr>
      <vt:lpstr>rendimento_carteira</vt:lpstr>
      <vt:lpstr>salario</vt:lpstr>
      <vt:lpstr>sugestao_investimento</vt:lpstr>
      <vt:lpstr>taxa_mensal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Castillo Sellán</dc:creator>
  <cp:lastModifiedBy>Paola Castillo Sellán</cp:lastModifiedBy>
  <dcterms:created xsi:type="dcterms:W3CDTF">2026-01-06T18:01:17Z</dcterms:created>
  <dcterms:modified xsi:type="dcterms:W3CDTF">2026-01-07T19:50:36Z</dcterms:modified>
</cp:coreProperties>
</file>